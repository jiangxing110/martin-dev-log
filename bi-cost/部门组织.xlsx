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4f0410b6c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门组织" sheetId="1" r:id="R65321885b5794d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8c4fdf19a4e55" /><Relationship Type="http://schemas.openxmlformats.org/officeDocument/2006/relationships/theme" Target="/xl/theme/theme1.xml" Id="Rf9c44e41054a42d3" /><Relationship Type="http://schemas.openxmlformats.org/officeDocument/2006/relationships/sharedStrings" Target="/xl/sharedStrings.xml" Id="R063369bd0c274b29" /><Relationship Type="http://schemas.openxmlformats.org/officeDocument/2006/relationships/worksheet" Target="/xl/worksheets/sheet1.xml" Id="R65321885b5794d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5" hidden="0" customHeight="1">
      <x:c r="A1" s="11" t="str">
        <x:v>部门</x:v>
      </x:c>
      <x:c r="B1" s="12" t="str">
        <x:v>部门ID</x:v>
      </x:c>
      <x:c r="C1" s="12" t="str">
        <x:v>部门名称</x:v>
      </x:c>
      <x:c r="D1" s="13" t="str">
        <x:v>上级部门</x:v>
      </x:c>
    </x:row>
    <x:row r="2" ht="15" hidden="0" customHeight="1">
      <x:c r="A2" s="14" t="str">
        <x:v>销售部</x:v>
      </x:c>
      <x:c r="B2" s="15" t="str">
        <x:f>"1740319822094311426"</x:f>
        <x:v>1740319822094311426</x:v>
      </x:c>
      <x:c r="C2" s="16" t="str">
        <x:v>销售部</x:v>
      </x:c>
      <x:c r="D2" s="17" t="str"/>
    </x:row>
    <x:row r="3" ht="15" hidden="0" customHeight="1">
      <x:c r="A3" s="14" t="str">
        <x:v>销售部/销售一部</x:v>
      </x:c>
      <x:c r="B3" s="15" t="str">
        <x:f>"1740319905791647746"</x:f>
        <x:v>1740319905791647746</x:v>
      </x:c>
      <x:c r="C3" s="16" t="str">
        <x:v>销售一部</x:v>
      </x:c>
      <x:c r="D3" s="17" t="str">
        <x:v>销售部</x:v>
      </x:c>
    </x:row>
    <x:row r="4" ht="15" hidden="0" customHeight="1">
      <x:c r="A4" s="14" t="str">
        <x:v>销售部/销售一部/销售一组</x:v>
      </x:c>
      <x:c r="B4" s="15" t="str">
        <x:f>"2097614575010123778"</x:f>
        <x:v>2097614575010123778</x:v>
      </x:c>
      <x:c r="C4" s="16" t="str">
        <x:v>销售一组</x:v>
      </x:c>
      <x:c r="D4" s="17" t="str">
        <x:v>销售一部</x:v>
      </x:c>
    </x:row>
    <x:row r="5" ht="15" hidden="0" customHeight="1">
      <x:c r="A5" s="14" t="str">
        <x:v>销售部/销售一部/销售二组</x:v>
      </x:c>
      <x:c r="B5" s="15" t="str">
        <x:f>"2097614680696270850"</x:f>
        <x:v>2097614680696270850</x:v>
      </x:c>
      <x:c r="C5" s="16" t="str">
        <x:v>销售二组</x:v>
      </x:c>
      <x:c r="D5" s="17" t="str">
        <x:v>销售一部</x:v>
      </x:c>
    </x:row>
    <x:row r="6" ht="15" hidden="0" customHeight="1">
      <x:c r="A6" s="14" t="str">
        <x:v>销售部/销售一部/销售三组</x:v>
      </x:c>
      <x:c r="B6" s="15" t="str">
        <x:f>"2097614776689037313"</x:f>
        <x:v>2097614776689037313</x:v>
      </x:c>
      <x:c r="C6" s="16" t="str">
        <x:v>销售三组</x:v>
      </x:c>
      <x:c r="D6" s="17" t="str">
        <x:v>销售一部</x:v>
      </x:c>
    </x:row>
    <x:row r="7" ht="15" hidden="0" customHeight="1">
      <x:c r="A7" s="14" t="str">
        <x:v>销售部/销售一部/销售四组</x:v>
      </x:c>
      <x:c r="B7" s="15" t="str">
        <x:f>"2097614875836264450"</x:f>
        <x:v>2097614875836264450</x:v>
      </x:c>
      <x:c r="C7" s="16" t="str">
        <x:v>销售四组</x:v>
      </x:c>
      <x:c r="D7" s="17" t="str">
        <x:v>销售一部</x:v>
      </x:c>
    </x:row>
    <x:row r="8" ht="15" hidden="0" customHeight="1">
      <x:c r="A8" s="14" t="str">
        <x:v>销售部/销售二部</x:v>
      </x:c>
      <x:c r="B8" s="15" t="str">
        <x:f>"1740319923059597313"</x:f>
        <x:v>1740319923059597313</x:v>
      </x:c>
      <x:c r="C8" s="16" t="str">
        <x:v>销售二部</x:v>
      </x:c>
      <x:c r="D8" s="17" t="str">
        <x:v>销售部</x:v>
      </x:c>
    </x:row>
    <x:row r="9" ht="15" hidden="0" customHeight="1">
      <x:c r="A9" s="14" t="str">
        <x:v>销售部/销售二部/销售一组</x:v>
      </x:c>
      <x:c r="B9" s="15" t="str">
        <x:f>"2097615094967676929"</x:f>
        <x:v>2097615094967676929</x:v>
      </x:c>
      <x:c r="C9" s="16" t="str">
        <x:v>销售一组</x:v>
      </x:c>
      <x:c r="D9" s="17" t="str">
        <x:v>销售二部</x:v>
      </x:c>
    </x:row>
    <x:row r="10" ht="15" hidden="0" customHeight="1">
      <x:c r="A10" s="14" t="str">
        <x:v>销售部/销售二部/销售二组</x:v>
      </x:c>
      <x:c r="B10" s="15" t="str">
        <x:f>"2097615188473221122"</x:f>
        <x:v>2097615188473221122</x:v>
      </x:c>
      <x:c r="C10" s="16" t="str">
        <x:v>销售二组</x:v>
      </x:c>
      <x:c r="D10" s="17" t="str">
        <x:v>销售二部</x:v>
      </x:c>
    </x:row>
    <x:row r="11" ht="15" hidden="0" customHeight="1">
      <x:c r="A11" s="14" t="str">
        <x:v>销售部/销售二部/销售三组</x:v>
      </x:c>
      <x:c r="B11" s="15" t="str">
        <x:f>"2097615280722743297"</x:f>
        <x:v>2097615280722743297</x:v>
      </x:c>
      <x:c r="C11" s="16" t="str">
        <x:v>销售三组</x:v>
      </x:c>
      <x:c r="D11" s="17" t="str">
        <x:v>销售二部</x:v>
      </x:c>
    </x:row>
    <x:row r="12" ht="15" hidden="0" customHeight="1">
      <x:c r="A12" s="14" t="str">
        <x:v>销售部/销售三部</x:v>
      </x:c>
      <x:c r="B12" s="15" t="str">
        <x:f>"2066369412858433538"</x:f>
        <x:v>2066369412858433538</x:v>
      </x:c>
      <x:c r="C12" s="16" t="str">
        <x:v>销售三部</x:v>
      </x:c>
      <x:c r="D12" s="17" t="str">
        <x:v>销售部</x:v>
      </x:c>
    </x:row>
    <x:row r="13" ht="15" hidden="0" customHeight="1">
      <x:c r="A13" s="14" t="str">
        <x:v>销售部/国际销售团队</x:v>
      </x:c>
      <x:c r="B13" s="15" t="str">
        <x:f>"2077248232127864834"</x:f>
        <x:v>2077248232127864834</x:v>
      </x:c>
      <x:c r="C13" s="16" t="str">
        <x:v>国际销售团队</x:v>
      </x:c>
      <x:c r="D13" s="17" t="str">
        <x:v>销售部</x:v>
      </x:c>
    </x:row>
    <x:row r="14" ht="15" hidden="0" customHeight="1">
      <x:c r="A14" s="14" t="str">
        <x:v>销售部/大客户销售部</x:v>
      </x:c>
      <x:c r="B14" s="15" t="str">
        <x:f>"2028709205416460290"</x:f>
        <x:v>2028709205416460290</x:v>
      </x:c>
      <x:c r="C14" s="16" t="str">
        <x:v>大客户销售部</x:v>
      </x:c>
      <x:c r="D14" s="17" t="str">
        <x:v>销售部</x:v>
      </x:c>
    </x:row>
    <x:row r="15" ht="15" hidden="0" customHeight="1">
      <x:c r="A15" s="14" t="str">
        <x:v>销售部/其他</x:v>
      </x:c>
      <x:c r="B15" s="15" t="str">
        <x:f>"1762301052057112578"</x:f>
        <x:v>1762301052057112578</x:v>
      </x:c>
      <x:c r="C15" s="16" t="str">
        <x:v>其他</x:v>
      </x:c>
      <x:c r="D15" s="17" t="str">
        <x:v>销售部</x:v>
      </x:c>
    </x:row>
    <x:row r="16" ht="15" hidden="0" customHeight="1">
      <x:c r="A16" s="14" t="str">
        <x:v>海外业务</x:v>
      </x:c>
      <x:c r="B16" s="15" t="str">
        <x:f>"1740320536308785154"</x:f>
        <x:v>1740320536308785154</x:v>
      </x:c>
      <x:c r="C16" s="16" t="str">
        <x:v>海外业务</x:v>
      </x:c>
      <x:c r="D16" s="17" t="str"/>
    </x:row>
    <x:row r="17" ht="15" hidden="0" customHeight="1">
      <x:c r="A17" s="14" t="str">
        <x:v>海外业务/海外业务销售部 - 1</x:v>
      </x:c>
      <x:c r="B17" s="15" t="str">
        <x:f>"1740320675756810242"</x:f>
        <x:v>1740320675756810242</x:v>
      </x:c>
      <x:c r="C17" s="16" t="str">
        <x:v>海外业务销售部 - 1</x:v>
      </x:c>
      <x:c r="D17" s="17" t="str">
        <x:v>海外业务</x:v>
      </x:c>
    </x:row>
    <x:row r="18" ht="15" hidden="0" customHeight="1">
      <x:c r="A18" s="14" t="str">
        <x:v>海外业务/海外业务销售部 - 2</x:v>
      </x:c>
      <x:c r="B18" s="15" t="str">
        <x:f>"1851130772357509121"</x:f>
        <x:v>1851130772357509121</x:v>
      </x:c>
      <x:c r="C18" s="16" t="str">
        <x:v>海外业务销售部 - 2</x:v>
      </x:c>
      <x:c r="D18" s="17" t="str">
        <x:v>海外业务</x:v>
      </x:c>
    </x:row>
    <x:row r="19" ht="15" hidden="0" customHeight="1">
      <x:c r="A19" s="14" t="str">
        <x:v>海外业务/大客户管理部</x:v>
      </x:c>
      <x:c r="B19" s="15" t="str">
        <x:f>"1740320716902932481"</x:f>
        <x:v>1740320716902932481</x:v>
      </x:c>
      <x:c r="C19" s="16" t="str">
        <x:v>大客户管理部</x:v>
      </x:c>
      <x:c r="D19" s="17" t="str">
        <x:v>海外业务</x:v>
      </x:c>
    </x:row>
    <x:row r="20" ht="15" hidden="0" customHeight="1">
      <x:c r="A20" s="18" t="str">
        <x:v>海外业务/创新业务部</x:v>
      </x:c>
      <x:c r="B20" s="19" t="str">
        <x:f>"1760576792068489218"</x:f>
        <x:v>1760576792068489218</x:v>
      </x:c>
      <x:c r="C20" s="20" t="str">
        <x:v>创新业务部</x:v>
      </x:c>
      <x:c r="D20" s="21" t="str">
        <x:v>海外业务</x:v>
      </x:c>
    </x:row>
  </x:sheetData>
  <x:pageMargins left="0.7" right="0.7" top="0.75" bottom="0.75" header="0.3" footer="0.3"/>
</x:worksheet>
</file>